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41b4f4632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" sheetId="1" r:id="R8138c555cd544400"/>
    <x:sheet xmlns:r="http://schemas.openxmlformats.org/officeDocument/2006/relationships" name="HY" sheetId="2" r:id="R27e6abe8cac4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"/>
    <x:numFmt numFmtId="203" formatCode="0.0000"/>
  </x:numFmts>
  <x:fonts count="9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b/>
      <x:sz val="17"/>
      <x:color rgb="FF062A68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62A68"/>
      </x:patternFill>
    </x:fill>
    <x:fill>
      <x:patternFill patternType="solid">
        <x:fgColor rgb="FFFFF4CF"/>
      </x:patternFill>
    </x:fill>
    <x:fill>
      <x:patternFill patternType="solid">
        <x:fgColor rgb="FFEAF1FF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8989854454680" /><Relationship Type="http://schemas.openxmlformats.org/officeDocument/2006/relationships/theme" Target="/xl/theme/theme1.xml" Id="Rdd0e14b065914841" /><Relationship Type="http://schemas.openxmlformats.org/officeDocument/2006/relationships/sharedStrings" Target="/xl/sharedStrings.xml" Id="Rf3bbf8af73084871" /><Relationship Type="http://schemas.openxmlformats.org/officeDocument/2006/relationships/worksheet" Target="/xl/worksheets/sheet1.xml" Id="R8138c555cd544400" /><Relationship Type="http://schemas.openxmlformats.org/officeDocument/2006/relationships/worksheet" Target="/xl/worksheets/sheet2.xml" Id="R27e6abe8cac4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6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9" customHeight="1">
      <x:c r="A1" s="4" t="str">
        <x:v>AI workflow cost calculator</x:v>
      </x:c>
      <x:c r="B1" s="4"/>
      <x:c r="C1" s="4"/>
      <x:c r="D1" s="4"/>
    </x:row>
    <x:row r="2" ht="29" customHeight="1">
      <x:c r="A2" s="1" t="str">
        <x:v>EUA AI Academy | Nairi Baghdasaryan, PhD</x:v>
      </x:c>
      <x:c r="B2" s="1"/>
      <x:c r="C2" s="1"/>
      <x:c r="D2" s="1"/>
    </x:row>
    <x:row r="3" ht="29" customHeight="1">
      <x:c r="A3" s="1" t="str">
        <x:v>USD. Yellow cells are editable teaching assumptions.</x:v>
      </x:c>
      <x:c r="B3" s="1"/>
      <x:c r="C3" s="1"/>
      <x:c r="D3" s="1"/>
    </x:row>
    <x:row r="4" ht="29" customHeight="1">
      <x:c r="A4" s="1" t="str">
        <x:v>Rates and acceptance figures are hypothetical, not vendor quotes.</x:v>
      </x:c>
      <x:c r="B4" s="1"/>
      <x:c r="C4" s="1"/>
      <x:c r="D4" s="1"/>
    </x:row>
    <x:row r="5" ht="29" customHeight="1">
      <x:c r="A5" s="1"/>
      <x:c r="B5" s="1"/>
      <x:c r="C5" s="1"/>
      <x:c r="D5" s="1"/>
    </x:row>
    <x:row r="6" ht="40" customHeight="1">
      <x:c r="A6" s="8" t="str">
        <x:v>Input or result</x:v>
      </x:c>
      <x:c r="B6" s="8" t="str">
        <x:v>Baseline</x:v>
      </x:c>
      <x:c r="C6" s="8" t="str">
        <x:v>Compact context</x:v>
      </x:c>
      <x:c r="D6" s="8" t="str">
        <x:v>Lower-rate model</x:v>
      </x:c>
    </x:row>
    <x:row r="7" ht="29" customHeight="1">
      <x:c r="A7" s="15" t="str">
        <x:v>Tasks per month</x:v>
      </x:c>
      <x:c r="B7" s="24" t="n">
        <x:v>1000</x:v>
      </x:c>
      <x:c r="C7" s="24" t="n">
        <x:v>1000</x:v>
      </x:c>
      <x:c r="D7" s="24" t="n">
        <x:v>1000</x:v>
      </x:c>
    </x:row>
    <x:row r="8" ht="29" customHeight="1">
      <x:c r="A8" s="15" t="str">
        <x:v>Attempts per task, including retries</x:v>
      </x:c>
      <x:c r="B8" s="20" t="n">
        <x:v>1.2</x:v>
      </x:c>
      <x:c r="C8" s="20" t="n">
        <x:v>1.2</x:v>
      </x:c>
      <x:c r="D8" s="20" t="n">
        <x:v>1.2</x:v>
      </x:c>
    </x:row>
    <x:row r="9" ht="29" customHeight="1">
      <x:c r="A9" s="15" t="str">
        <x:v>Final accepted share of tasks</x:v>
      </x:c>
      <x:c r="B9" s="23" t="n">
        <x:v>0.95</x:v>
      </x:c>
      <x:c r="C9" s="23" t="n">
        <x:v>0.95</x:v>
      </x:c>
      <x:c r="D9" s="23" t="n">
        <x:v>0.9</x:v>
      </x:c>
    </x:row>
    <x:row r="10" ht="29" customHeight="1">
      <x:c r="A10" s="15" t="str">
        <x:v>Uncached input tokens per attempt</x:v>
      </x:c>
      <x:c r="B10" s="24" t="n">
        <x:v>2000</x:v>
      </x:c>
      <x:c r="C10" s="24" t="n">
        <x:v>1000</x:v>
      </x:c>
      <x:c r="D10" s="24" t="n">
        <x:v>2000</x:v>
      </x:c>
    </x:row>
    <x:row r="11" ht="29" customHeight="1">
      <x:c r="A11" s="15" t="str">
        <x:v>Cache-write tokens per attempt</x:v>
      </x:c>
      <x:c r="B11" s="24" t="n">
        <x:v>0</x:v>
      </x:c>
      <x:c r="C11" s="24" t="n">
        <x:v>0</x:v>
      </x:c>
      <x:c r="D11" s="24" t="n">
        <x:v>0</x:v>
      </x:c>
    </x:row>
    <x:row r="12" ht="29" customHeight="1">
      <x:c r="A12" s="15" t="str">
        <x:v>Cache-read tokens per attempt</x:v>
      </x:c>
      <x:c r="B12" s="24" t="n">
        <x:v>0</x:v>
      </x:c>
      <x:c r="C12" s="24" t="n">
        <x:v>0</x:v>
      </x:c>
      <x:c r="D12" s="24" t="n">
        <x:v>0</x:v>
      </x:c>
    </x:row>
    <x:row r="13" ht="29" customHeight="1">
      <x:c r="A13" s="15" t="str">
        <x:v>Output tokens per attempt</x:v>
      </x:c>
      <x:c r="B13" s="24" t="n">
        <x:v>500</x:v>
      </x:c>
      <x:c r="C13" s="24" t="n">
        <x:v>300</x:v>
      </x:c>
      <x:c r="D13" s="24" t="n">
        <x:v>500</x:v>
      </x:c>
    </x:row>
    <x:row r="14" ht="29" customHeight="1">
      <x:c r="A14" s="15" t="str">
        <x:v>Uncached input USD per million</x:v>
      </x:c>
      <x:c r="B14" s="25" t="n">
        <x:v>2</x:v>
      </x:c>
      <x:c r="C14" s="25" t="n">
        <x:v>2</x:v>
      </x:c>
      <x:c r="D14" s="25" t="n">
        <x:v>0.5</x:v>
      </x:c>
    </x:row>
    <x:row r="15" ht="29" customHeight="1">
      <x:c r="A15" s="15" t="str">
        <x:v>Cache-write USD per million</x:v>
      </x:c>
      <x:c r="B15" s="25" t="n">
        <x:v>2.5</x:v>
      </x:c>
      <x:c r="C15" s="25" t="n">
        <x:v>2.5</x:v>
      </x:c>
      <x:c r="D15" s="25" t="n">
        <x:v>0.625</x:v>
      </x:c>
    </x:row>
    <x:row r="16" ht="29" customHeight="1">
      <x:c r="A16" s="15" t="str">
        <x:v>Cache-read USD per million</x:v>
      </x:c>
      <x:c r="B16" s="25" t="n">
        <x:v>0.2</x:v>
      </x:c>
      <x:c r="C16" s="25" t="n">
        <x:v>0.2</x:v>
      </x:c>
      <x:c r="D16" s="25" t="n">
        <x:v>0.05</x:v>
      </x:c>
    </x:row>
    <x:row r="17" ht="29" customHeight="1">
      <x:c r="A17" s="15" t="str">
        <x:v>Output USD per million</x:v>
      </x:c>
      <x:c r="B17" s="25" t="n">
        <x:v>8</x:v>
      </x:c>
      <x:c r="C17" s="25" t="n">
        <x:v>8</x:v>
      </x:c>
      <x:c r="D17" s="25" t="n">
        <x:v>2</x:v>
      </x:c>
    </x:row>
    <x:row r="18" ht="29" customHeight="1">
      <x:c r="A18" s="15" t="str">
        <x:v>Additional USD per attempt</x:v>
      </x:c>
      <x:c r="B18" s="25" t="n">
        <x:v>0</x:v>
      </x:c>
      <x:c r="C18" s="25" t="n">
        <x:v>0</x:v>
      </x:c>
      <x:c r="D18" s="25" t="n">
        <x:v>0</x:v>
      </x:c>
    </x:row>
    <x:row r="19" ht="29" customHeight="1">
      <x:c r="A19" s="15" t="str">
        <x:v>Monthly fixed fees USD</x:v>
      </x:c>
      <x:c r="B19" s="20" t="n">
        <x:v>20</x:v>
      </x:c>
      <x:c r="C19" s="20" t="n">
        <x:v>20</x:v>
      </x:c>
      <x:c r="D19" s="20" t="n">
        <x:v>20</x:v>
      </x:c>
    </x:row>
    <x:row r="20" ht="29" customHeight="1">
      <x:c r="A20" s="15" t="str">
        <x:v>Review minutes per task, all retries</x:v>
      </x:c>
      <x:c r="B20" s="20" t="n">
        <x:v>2</x:v>
      </x:c>
      <x:c r="C20" s="20" t="n">
        <x:v>2</x:v>
      </x:c>
      <x:c r="D20" s="20" t="n">
        <x:v>3</x:v>
      </x:c>
    </x:row>
    <x:row r="21" ht="29" customHeight="1">
      <x:c r="A21" s="15" t="str">
        <x:v>Reviewer USD per hour</x:v>
      </x:c>
      <x:c r="B21" s="20" t="n">
        <x:v>12</x:v>
      </x:c>
      <x:c r="C21" s="20" t="n">
        <x:v>12</x:v>
      </x:c>
      <x:c r="D21" s="20" t="n">
        <x:v>12</x:v>
      </x:c>
    </x:row>
    <x:row r="22" ht="29" customHeight="1">
      <x:c r="A22" s="15" t="str">
        <x:v>Total monthly attempts</x:v>
      </x:c>
      <x:c r="B22" s="26" t="n">
        <x:f>B7*B8</x:f>
        <x:v>1200</x:v>
      </x:c>
      <x:c r="C22" s="26" t="n">
        <x:f>C7*C8</x:f>
        <x:v>1200</x:v>
      </x:c>
      <x:c r="D22" s="26" t="n">
        <x:f>D7*D8</x:f>
        <x:v>1200</x:v>
      </x:c>
    </x:row>
    <x:row r="23" ht="29" customHeight="1">
      <x:c r="A23" s="15" t="str">
        <x:v>USD per attempt</x:v>
      </x:c>
      <x:c r="B23" s="28" t="n">
        <x:f>(B10*B14+B11*B15+B12*B16+B13*B17)/1000000+B18</x:f>
        <x:v>0.008</x:v>
      </x:c>
      <x:c r="C23" s="28" t="n">
        <x:f>(C10*C14+C11*C15+C12*C16+C13*C17)/1000000+C18</x:f>
        <x:v>0.0044</x:v>
      </x:c>
      <x:c r="D23" s="28" t="n">
        <x:f>(D10*D14+D11*D15+D12*D16+D13*D17)/1000000+D18</x:f>
        <x:v>0.002</x:v>
      </x:c>
    </x:row>
    <x:row r="24" ht="29" customHeight="1">
      <x:c r="A24" s="15" t="str">
        <x:v>Monthly API and usage USD</x:v>
      </x:c>
      <x:c r="B24" s="21" t="n">
        <x:f>B22*B23</x:f>
        <x:v>9.6</x:v>
      </x:c>
      <x:c r="C24" s="21" t="n">
        <x:f>C22*C23</x:f>
        <x:v>5.28</x:v>
      </x:c>
      <x:c r="D24" s="21" t="n">
        <x:f>D22*D23</x:f>
        <x:v>2.4</x:v>
      </x:c>
    </x:row>
    <x:row r="25" ht="29" customHeight="1">
      <x:c r="A25" s="15" t="str">
        <x:v>Monthly human review USD</x:v>
      </x:c>
      <x:c r="B25" s="21" t="n">
        <x:f>B7*B20*B21/60</x:f>
        <x:v>400</x:v>
      </x:c>
      <x:c r="C25" s="21" t="n">
        <x:f>C7*C20*C21/60</x:f>
        <x:v>400</x:v>
      </x:c>
      <x:c r="D25" s="21" t="n">
        <x:f>D7*D20*D21/60</x:f>
        <x:v>600</x:v>
      </x:c>
    </x:row>
    <x:row r="26" ht="29" customHeight="1">
      <x:c r="A26" s="18" t="str">
        <x:v>Total monthly cost USD</x:v>
      </x:c>
      <x:c r="B26" s="22" t="n">
        <x:f>B24+B25+B19</x:f>
        <x:v>429.6</x:v>
      </x:c>
      <x:c r="C26" s="22" t="n">
        <x:f>C24+C25+C19</x:f>
        <x:v>425.28</x:v>
      </x:c>
      <x:c r="D26" s="22" t="n">
        <x:f>D24+D25+D19</x:f>
        <x:v>622.4</x:v>
      </x:c>
    </x:row>
    <x:row r="27" ht="29" customHeight="1">
      <x:c r="A27" s="18" t="str">
        <x:v>Accepted outputs per month</x:v>
      </x:c>
      <x:c r="B27" s="27" t="n">
        <x:f>B7*B9</x:f>
        <x:v>950</x:v>
      </x:c>
      <x:c r="C27" s="27" t="n">
        <x:f>C7*C9</x:f>
        <x:v>950</x:v>
      </x:c>
      <x:c r="D27" s="27" t="n">
        <x:f>D7*D9</x:f>
        <x:v>900</x:v>
      </x:c>
    </x:row>
    <x:row r="28" ht="29" customHeight="1">
      <x:c r="A28" s="18" t="str">
        <x:v>USD per accepted output</x:v>
      </x:c>
      <x:c r="B28" s="29" t="n">
        <x:f>IF(B27=0,"No accepted outputs",B26/B27)</x:f>
        <x:v>0.4522105263157895</x:v>
      </x:c>
      <x:c r="C28" s="29" t="n">
        <x:f>IF(C27=0,"No accepted outputs",C26/C27)</x:f>
        <x:v>0.4476631578947368</x:v>
      </x:c>
      <x:c r="D28" s="29" t="n">
        <x:f>IF(D27=0,"No accepted outputs",D26/D27)</x:f>
        <x:v>0.6915555555555555</x:v>
      </x:c>
    </x:row>
    <x:row r="29" ht="29" customHeight="1">
      <x:c r="A29" s="15" t="str">
        <x:v>Monthly saving against baseline USD</x:v>
      </x:c>
      <x:c r="B29" s="21" t="n">
        <x:f>$B$26-B26</x:f>
        <x:v>0</x:v>
      </x:c>
      <x:c r="C29" s="21" t="n">
        <x:f>$B$26-C26</x:f>
        <x:v>4.32000000000005</x:v>
      </x:c>
      <x:c r="D29" s="21" t="n">
        <x:f>$B$26-D26</x:f>
        <x:v>-192.79999999999995</x:v>
      </x:c>
    </x:row>
    <x:row r="30" ht="29" customHeight="1">
      <x:c r="A30" s="1"/>
      <x:c r="B30" s="1"/>
      <x:c r="C30" s="1"/>
      <x:c r="D30" s="1"/>
    </x:row>
    <x:row r="31" ht="48" customHeight="1">
      <x:c r="A31" s="31" t="str">
        <x:v>Count token buckets exclusively. Cache writes must not also appear as uncached input.</x:v>
      </x:c>
      <x:c r="B31" s="1"/>
      <x:c r="C31" s="1"/>
      <x:c r="D31" s="1"/>
    </x:row>
    <x:row r="32" ht="48" customHeight="1">
      <x:c r="A32" s="31" t="str">
        <x:v>Review minutes include all corrections and retries for one task. Do not multiply review by attempts.</x:v>
      </x:c>
      <x:c r="B32" s="1"/>
      <x:c r="C32" s="1"/>
      <x:c r="D32" s="1"/>
    </x:row>
    <x:row r="33" ht="48" customHeight="1">
      <x:c r="A33" s="31" t="str">
        <x:v>Additional fees: tool calls, separately billed reasoning, storage, media or integration, as applicable.</x:v>
      </x:c>
      <x:c r="B33" s="1"/>
      <x:c r="C33" s="1"/>
      <x:c r="D33" s="1"/>
    </x:row>
    <x:row r="34" ht="48" customHeight="1">
      <x:c r="A34" s="31" t="str">
        <x:v>Subscriptions and API fees are separate products. Enter only fees actually incurred.</x:v>
      </x:c>
      <x:c r="B34" s="1"/>
      <x:c r="C34" s="1"/>
      <x:c r="D34" s="1"/>
    </x:row>
    <x:row r="35" ht="48" customHeight="1">
      <x:c r="A35" s="31" t="str">
        <x:v>Replace examples with measured usage and the official price of the exact model and plan.</x:v>
      </x:c>
      <x:c r="B35" s="1"/>
      <x:c r="C35" s="1"/>
      <x:c r="D35" s="1"/>
    </x:row>
    <x:row r="36" ht="48" customHeight="1">
      <x:c r="A36" s="31" t="str">
        <x:v>Prompt caching documentation: https://platform.claude.com/docs/en/build-with-claude/prompt-caching</x:v>
      </x:c>
      <x:c r="B36" s="1"/>
      <x:c r="C36" s="1"/>
      <x:c r="D36" s="1"/>
    </x:row>
    <x:row r="37" ht="48" customHeight="1">
      <x:c r="A37" s="31" t="str">
        <x:v>Token counting: https://ai.google.dev/gemini-api/docs/tokens</x:v>
      </x:c>
      <x:c r="B37" s="1"/>
      <x:c r="C37" s="1"/>
      <x:c r="D37" s="1"/>
    </x:row>
    <x:row r="38" ht="48" customHeight="1">
      <x:c r="A38" s="31" t="str">
        <x:v>Reference scenario: 1,200 attempts; USD 9.60 API; USD 429.60 total; 950 accepted outputs.</x:v>
      </x:c>
      <x:c r="B38" s="1"/>
      <x:c r="C38" s="1"/>
      <x:c r="D38" s="1"/>
    </x:row>
    <x:row r="39" ht="48" customHeight="1">
      <x:c r="A39" s="31" t="str">
        <x:v>Version 1.1. Example inputs are educational assumptions, not live prices.</x:v>
      </x:c>
      <x:c r="B39" s="1"/>
      <x:c r="C39" s="1"/>
      <x:c r="D39" s="1"/>
    </x:row>
  </x:sheetData>
  <x:dataValidations count="4">
    <x:dataValidation type="whole" operator="greaterThanOrEqual" sqref="B7:D7">
      <x:formula1>0</x:formula1>
    </x:dataValidation>
    <x:dataValidation type="decimal" operator="greaterThanOrEqual" sqref="B8:D8">
      <x:formula1>1</x:formula1>
    </x:dataValidation>
    <x:dataValidation type="decimal" operator="between" sqref="B9:D9">
      <x:formula1>0</x:formula1>
      <x:formula2>1</x:formula2>
    </x:dataValidation>
    <x:dataValidation type="decimal" operator="greaterThanOrEqual" sqref="B10:D2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6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9" customHeight="1">
      <x:c r="A1" s="4" t="str">
        <x:v>ԱԲ աշխատանքային հոսքի ծախսի հաշվիչ</x:v>
      </x:c>
      <x:c r="B1" s="4"/>
      <x:c r="C1" s="4"/>
      <x:c r="D1" s="4"/>
    </x:row>
    <x:row r="2" ht="29" customHeight="1">
      <x:c r="A2" s="1" t="str">
        <x:v>ԵՀՀ ԱԲ ակադեմիա | Nairi Baghdasaryan, PhD</x:v>
      </x:c>
      <x:c r="B2" s="1"/>
      <x:c r="C2" s="1"/>
      <x:c r="D2" s="1"/>
    </x:row>
    <x:row r="3" ht="29" customHeight="1">
      <x:c r="A3" s="1" t="str">
        <x:v>USD։ Դեղին բջիջները խմբագրելի ուսումնական ենթադրություններ են։</x:v>
      </x:c>
      <x:c r="B3" s="1"/>
      <x:c r="C3" s="1"/>
      <x:c r="D3" s="1"/>
    </x:row>
    <x:row r="4" ht="29" customHeight="1">
      <x:c r="A4" s="1" t="str">
        <x:v>Գներն ու ընդունման թվերը ենթադրական են, ոչ մատակարարի առաջարկ։</x:v>
      </x:c>
      <x:c r="B4" s="1"/>
      <x:c r="C4" s="1"/>
      <x:c r="D4" s="1"/>
    </x:row>
    <x:row r="5" ht="29" customHeight="1">
      <x:c r="A5" s="1"/>
      <x:c r="B5" s="1"/>
      <x:c r="C5" s="1"/>
      <x:c r="D5" s="1"/>
    </x:row>
    <x:row r="6" ht="40" customHeight="1">
      <x:c r="A6" s="8" t="str">
        <x:v>Մուտք կամ արդյունք</x:v>
      </x:c>
      <x:c r="B6" s="8" t="str">
        <x:v>Ելակետ</x:v>
      </x:c>
      <x:c r="C6" s="8" t="str">
        <x:v>Հակիրճ համատեքստ</x:v>
      </x:c>
      <x:c r="D6" s="8" t="str">
        <x:v>Ցածր գնի մոդել</x:v>
      </x:c>
    </x:row>
    <x:row r="7" ht="29" customHeight="1">
      <x:c r="A7" s="15" t="str">
        <x:v>Առաջադրանքներ ամսական</x:v>
      </x:c>
      <x:c r="B7" s="24" t="n">
        <x:v>1000</x:v>
      </x:c>
      <x:c r="C7" s="24" t="n">
        <x:v>1000</x:v>
      </x:c>
      <x:c r="D7" s="24" t="n">
        <x:v>1000</x:v>
      </x:c>
    </x:row>
    <x:row r="8" ht="29" customHeight="1">
      <x:c r="A8" s="15" t="str">
        <x:v>Փորձեր՝ ներառյալ կրկնությունները</x:v>
      </x:c>
      <x:c r="B8" s="20" t="n">
        <x:v>1.2</x:v>
      </x:c>
      <x:c r="C8" s="20" t="n">
        <x:v>1.2</x:v>
      </x:c>
      <x:c r="D8" s="20" t="n">
        <x:v>1.2</x:v>
      </x:c>
    </x:row>
    <x:row r="9" ht="29" customHeight="1">
      <x:c r="A9" s="15" t="str">
        <x:v>Վերջնական ընդունված բաժին</x:v>
      </x:c>
      <x:c r="B9" s="23" t="n">
        <x:v>0.95</x:v>
      </x:c>
      <x:c r="C9" s="23" t="n">
        <x:v>0.95</x:v>
      </x:c>
      <x:c r="D9" s="23" t="n">
        <x:v>0.9</x:v>
      </x:c>
    </x:row>
    <x:row r="10" ht="29" customHeight="1">
      <x:c r="A10" s="15" t="str">
        <x:v>Չքեշավորված մուտքի թոքեններ մեկ փորձին</x:v>
      </x:c>
      <x:c r="B10" s="24" t="n">
        <x:v>2000</x:v>
      </x:c>
      <x:c r="C10" s="24" t="n">
        <x:v>1000</x:v>
      </x:c>
      <x:c r="D10" s="24" t="n">
        <x:v>2000</x:v>
      </x:c>
    </x:row>
    <x:row r="11" ht="29" customHeight="1">
      <x:c r="A11" s="15" t="str">
        <x:v>Քեշ գրառման թոքեններ մեկ փորձին</x:v>
      </x:c>
      <x:c r="B11" s="24" t="n">
        <x:v>0</x:v>
      </x:c>
      <x:c r="C11" s="24" t="n">
        <x:v>0</x:v>
      </x:c>
      <x:c r="D11" s="24" t="n">
        <x:v>0</x:v>
      </x:c>
    </x:row>
    <x:row r="12" ht="29" customHeight="1">
      <x:c r="A12" s="15" t="str">
        <x:v>Քեշ ընթերցման թոքեններ մեկ փորձին</x:v>
      </x:c>
      <x:c r="B12" s="24" t="n">
        <x:v>0</x:v>
      </x:c>
      <x:c r="C12" s="24" t="n">
        <x:v>0</x:v>
      </x:c>
      <x:c r="D12" s="24" t="n">
        <x:v>0</x:v>
      </x:c>
    </x:row>
    <x:row r="13" ht="29" customHeight="1">
      <x:c r="A13" s="15" t="str">
        <x:v>Ելքային թոքեններ մեկ փորձին</x:v>
      </x:c>
      <x:c r="B13" s="24" t="n">
        <x:v>500</x:v>
      </x:c>
      <x:c r="C13" s="24" t="n">
        <x:v>300</x:v>
      </x:c>
      <x:c r="D13" s="24" t="n">
        <x:v>500</x:v>
      </x:c>
    </x:row>
    <x:row r="14" ht="29" customHeight="1">
      <x:c r="A14" s="15" t="str">
        <x:v>Չքեշավորված մուտքի USD մեկ միլիոնի համար</x:v>
      </x:c>
      <x:c r="B14" s="25" t="n">
        <x:v>2</x:v>
      </x:c>
      <x:c r="C14" s="25" t="n">
        <x:v>2</x:v>
      </x:c>
      <x:c r="D14" s="25" t="n">
        <x:v>0.5</x:v>
      </x:c>
    </x:row>
    <x:row r="15" ht="29" customHeight="1">
      <x:c r="A15" s="15" t="str">
        <x:v>Քեշ գրառման USD մեկ միլիոնի համար</x:v>
      </x:c>
      <x:c r="B15" s="25" t="n">
        <x:v>2.5</x:v>
      </x:c>
      <x:c r="C15" s="25" t="n">
        <x:v>2.5</x:v>
      </x:c>
      <x:c r="D15" s="25" t="n">
        <x:v>0.625</x:v>
      </x:c>
    </x:row>
    <x:row r="16" ht="29" customHeight="1">
      <x:c r="A16" s="15" t="str">
        <x:v>Քեշ ընթերցման USD մեկ միլիոնի համար</x:v>
      </x:c>
      <x:c r="B16" s="25" t="n">
        <x:v>0.2</x:v>
      </x:c>
      <x:c r="C16" s="25" t="n">
        <x:v>0.2</x:v>
      </x:c>
      <x:c r="D16" s="25" t="n">
        <x:v>0.05</x:v>
      </x:c>
    </x:row>
    <x:row r="17" ht="29" customHeight="1">
      <x:c r="A17" s="15" t="str">
        <x:v>Ելքի USD մեկ միլիոնի համար</x:v>
      </x:c>
      <x:c r="B17" s="25" t="n">
        <x:v>8</x:v>
      </x:c>
      <x:c r="C17" s="25" t="n">
        <x:v>8</x:v>
      </x:c>
      <x:c r="D17" s="25" t="n">
        <x:v>2</x:v>
      </x:c>
    </x:row>
    <x:row r="18" ht="29" customHeight="1">
      <x:c r="A18" s="15" t="str">
        <x:v>Հավելյալ USD մեկ փորձին</x:v>
      </x:c>
      <x:c r="B18" s="25" t="n">
        <x:v>0</x:v>
      </x:c>
      <x:c r="C18" s="25" t="n">
        <x:v>0</x:v>
      </x:c>
      <x:c r="D18" s="25" t="n">
        <x:v>0</x:v>
      </x:c>
    </x:row>
    <x:row r="19" ht="29" customHeight="1">
      <x:c r="A19" s="15" t="str">
        <x:v>Ամսական հաստատուն վճար USD</x:v>
      </x:c>
      <x:c r="B19" s="20" t="n">
        <x:v>20</x:v>
      </x:c>
      <x:c r="C19" s="20" t="n">
        <x:v>20</x:v>
      </x:c>
      <x:c r="D19" s="20" t="n">
        <x:v>20</x:v>
      </x:c>
    </x:row>
    <x:row r="20" ht="29" customHeight="1">
      <x:c r="A20" s="15" t="str">
        <x:v>Ստուգման րոպե մեկ առաջադրանքին՝ ամբողջը</x:v>
      </x:c>
      <x:c r="B20" s="20" t="n">
        <x:v>2</x:v>
      </x:c>
      <x:c r="C20" s="20" t="n">
        <x:v>2</x:v>
      </x:c>
      <x:c r="D20" s="20" t="n">
        <x:v>3</x:v>
      </x:c>
    </x:row>
    <x:row r="21" ht="29" customHeight="1">
      <x:c r="A21" s="15" t="str">
        <x:v>Ստուգողի USD մեկ ժամին</x:v>
      </x:c>
      <x:c r="B21" s="20" t="n">
        <x:v>12</x:v>
      </x:c>
      <x:c r="C21" s="20" t="n">
        <x:v>12</x:v>
      </x:c>
      <x:c r="D21" s="20" t="n">
        <x:v>12</x:v>
      </x:c>
    </x:row>
    <x:row r="22" ht="29" customHeight="1">
      <x:c r="A22" s="15" t="str">
        <x:v>Ընդհանուր ամսական փորձեր</x:v>
      </x:c>
      <x:c r="B22" s="26" t="n">
        <x:f>B7*B8</x:f>
        <x:v>1200</x:v>
      </x:c>
      <x:c r="C22" s="26" t="n">
        <x:f>C7*C8</x:f>
        <x:v>1200</x:v>
      </x:c>
      <x:c r="D22" s="26" t="n">
        <x:f>D7*D8</x:f>
        <x:v>1200</x:v>
      </x:c>
    </x:row>
    <x:row r="23" ht="29" customHeight="1">
      <x:c r="A23" s="15" t="str">
        <x:v>Մեկ փորձի USD</x:v>
      </x:c>
      <x:c r="B23" s="28" t="n">
        <x:f>(B10*B14+B11*B15+B12*B16+B13*B17)/1000000+B18</x:f>
        <x:v>0.008</x:v>
      </x:c>
      <x:c r="C23" s="28" t="n">
        <x:f>(C10*C14+C11*C15+C12*C16+C13*C17)/1000000+C18</x:f>
        <x:v>0.0044</x:v>
      </x:c>
      <x:c r="D23" s="28" t="n">
        <x:f>(D10*D14+D11*D15+D12*D16+D13*D17)/1000000+D18</x:f>
        <x:v>0.002</x:v>
      </x:c>
    </x:row>
    <x:row r="24" ht="29" customHeight="1">
      <x:c r="A24" s="15" t="str">
        <x:v>Ամսական API և օգտագործման USD</x:v>
      </x:c>
      <x:c r="B24" s="21" t="n">
        <x:f>B22*B23</x:f>
        <x:v>9.6</x:v>
      </x:c>
      <x:c r="C24" s="21" t="n">
        <x:f>C22*C23</x:f>
        <x:v>5.28</x:v>
      </x:c>
      <x:c r="D24" s="21" t="n">
        <x:f>D22*D23</x:f>
        <x:v>2.4</x:v>
      </x:c>
    </x:row>
    <x:row r="25" ht="29" customHeight="1">
      <x:c r="A25" s="15" t="str">
        <x:v>Ամսական մարդկային ստուգման USD</x:v>
      </x:c>
      <x:c r="B25" s="21" t="n">
        <x:f>B7*B20*B21/60</x:f>
        <x:v>400</x:v>
      </x:c>
      <x:c r="C25" s="21" t="n">
        <x:f>C7*C20*C21/60</x:f>
        <x:v>400</x:v>
      </x:c>
      <x:c r="D25" s="21" t="n">
        <x:f>D7*D20*D21/60</x:f>
        <x:v>600</x:v>
      </x:c>
    </x:row>
    <x:row r="26" ht="29" customHeight="1">
      <x:c r="A26" s="18" t="str">
        <x:v>Ամսական ընդհանուր ծախս USD</x:v>
      </x:c>
      <x:c r="B26" s="22" t="n">
        <x:f>B24+B25+B19</x:f>
        <x:v>429.6</x:v>
      </x:c>
      <x:c r="C26" s="22" t="n">
        <x:f>C24+C25+C19</x:f>
        <x:v>425.28</x:v>
      </x:c>
      <x:c r="D26" s="22" t="n">
        <x:f>D24+D25+D19</x:f>
        <x:v>622.4</x:v>
      </x:c>
    </x:row>
    <x:row r="27" ht="29" customHeight="1">
      <x:c r="A27" s="18" t="str">
        <x:v>Ամսական ընդունված արդյունքներ</x:v>
      </x:c>
      <x:c r="B27" s="27" t="n">
        <x:f>B7*B9</x:f>
        <x:v>950</x:v>
      </x:c>
      <x:c r="C27" s="27" t="n">
        <x:f>C7*C9</x:f>
        <x:v>950</x:v>
      </x:c>
      <x:c r="D27" s="27" t="n">
        <x:f>D7*D9</x:f>
        <x:v>900</x:v>
      </x:c>
    </x:row>
    <x:row r="28" ht="29" customHeight="1">
      <x:c r="A28" s="18" t="str">
        <x:v>Մեկ ընդունված արդյունքի USD</x:v>
      </x:c>
      <x:c r="B28" s="29" t="n">
        <x:f>IF(B27=0,"Ընդունված արդյունք չկա",B26/B27)</x:f>
        <x:v>0.4522105263157895</x:v>
      </x:c>
      <x:c r="C28" s="29" t="n">
        <x:f>IF(C27=0,"Ընդունված արդյունք չկա",C26/C27)</x:f>
        <x:v>0.4476631578947368</x:v>
      </x:c>
      <x:c r="D28" s="29" t="n">
        <x:f>IF(D27=0,"Ընդունված արդյունք չկա",D26/D27)</x:f>
        <x:v>0.6915555555555555</x:v>
      </x:c>
    </x:row>
    <x:row r="29" ht="29" customHeight="1">
      <x:c r="A29" s="15" t="str">
        <x:v>Ամսական խնայողություն ելակետի համեմատ USD</x:v>
      </x:c>
      <x:c r="B29" s="21" t="n">
        <x:f>$B$26-B26</x:f>
        <x:v>0</x:v>
      </x:c>
      <x:c r="C29" s="21" t="n">
        <x:f>$B$26-C26</x:f>
        <x:v>4.32000000000005</x:v>
      </x:c>
      <x:c r="D29" s="21" t="n">
        <x:f>$B$26-D26</x:f>
        <x:v>-192.79999999999995</x:v>
      </x:c>
    </x:row>
    <x:row r="30" ht="29" customHeight="1">
      <x:c r="A30" s="1"/>
      <x:c r="B30" s="1"/>
      <x:c r="C30" s="1"/>
      <x:c r="D30" s="1"/>
    </x:row>
    <x:row r="31" ht="48" customHeight="1">
      <x:c r="A31" s="31" t="str">
        <x:v>Թոքենի խմբերը հաշվեք առանց կրկնության։ Քեշ գրառումը մի ներառեք չքեշավորված մուտքում։</x:v>
      </x:c>
      <x:c r="B31" s="1"/>
      <x:c r="C31" s="1"/>
      <x:c r="D31" s="1"/>
    </x:row>
    <x:row r="32" ht="48" customHeight="1">
      <x:c r="A32" s="31" t="str">
        <x:v>Ստուգման րոպեները ներառում են մեկ առաջադրանքի բոլոր ուղղումներն ու կրկնությունները։</x:v>
      </x:c>
      <x:c r="B32" s="1"/>
      <x:c r="C32" s="1"/>
      <x:c r="D32" s="1"/>
    </x:row>
    <x:row r="33" ht="48" customHeight="1">
      <x:c r="A33" s="31" t="str">
        <x:v>Հավելյալ վճար՝ գործիքներ, առանձին հաշվարկվող մտածողություն, պահպանում, մեդիա կամ ինտեգրում։</x:v>
      </x:c>
      <x:c r="B33" s="1"/>
      <x:c r="C33" s="1"/>
      <x:c r="D33" s="1"/>
    </x:row>
    <x:row r="34" ht="48" customHeight="1">
      <x:c r="A34" s="31" t="str">
        <x:v>Բաժանորդագրությունն ու API վճարը տարբեր արտադրանքներ են։ Ներառեք միայն իրական ծախսը։</x:v>
      </x:c>
      <x:c r="B34" s="1"/>
      <x:c r="C34" s="1"/>
      <x:c r="D34" s="1"/>
    </x:row>
    <x:row r="35" ht="48" customHeight="1">
      <x:c r="A35" s="31" t="str">
        <x:v>Օրինակները փոխարինեք չափված օգտագործմամբ և ընտրված մոդելի ու պլանի պաշտոնական գներով։</x:v>
      </x:c>
      <x:c r="B35" s="1"/>
      <x:c r="C35" s="1"/>
      <x:c r="D35" s="1"/>
    </x:row>
    <x:row r="36" ht="48" customHeight="1">
      <x:c r="A36" s="31" t="str">
        <x:v>Քեշավորման փաստաթուղթ՝ https://platform.claude.com/docs/en/build-with-claude/prompt-caching</x:v>
      </x:c>
      <x:c r="B36" s="1"/>
      <x:c r="C36" s="1"/>
      <x:c r="D36" s="1"/>
    </x:row>
    <x:row r="37" ht="48" customHeight="1">
      <x:c r="A37" s="31" t="str">
        <x:v>Թոքենների հաշվարկ՝ https://ai.google.dev/gemini-api/docs/tokens</x:v>
      </x:c>
      <x:c r="B37" s="1"/>
      <x:c r="C37" s="1"/>
      <x:c r="D37" s="1"/>
    </x:row>
    <x:row r="38" ht="48" customHeight="1">
      <x:c r="A38" s="31" t="str">
        <x:v>Ելակետ՝ 1,200 փորձ, USD 9.60 API, USD 429.60 ընդհանուր, 950 ընդունված արդյունք։</x:v>
      </x:c>
      <x:c r="B38" s="1"/>
      <x:c r="C38" s="1"/>
      <x:c r="D38" s="1"/>
    </x:row>
    <x:row r="39" ht="48" customHeight="1">
      <x:c r="A39" s="31" t="str">
        <x:v>Տարբերակ 1.1։ Օրինակային մուտքերը ուսումնական ենթադրություններ են, ոչ ընթացիկ գներ։</x:v>
      </x:c>
      <x:c r="B39" s="1"/>
      <x:c r="C39" s="1"/>
      <x:c r="D39" s="1"/>
    </x:row>
  </x:sheetData>
  <x:dataValidations count="4">
    <x:dataValidation type="whole" operator="greaterThanOrEqual" sqref="B7:D7">
      <x:formula1>0</x:formula1>
    </x:dataValidation>
    <x:dataValidation type="decimal" operator="greaterThanOrEqual" sqref="B8:D8">
      <x:formula1>1</x:formula1>
    </x:dataValidation>
    <x:dataValidation type="decimal" operator="between" sqref="B9:D9">
      <x:formula1>0</x:formula1>
      <x:formula2>1</x:formula2>
    </x:dataValidation>
    <x:dataValidation type="decimal" operator="greaterThanOrEqual" sqref="B10:D21">
      <x:formula1>0</x:formula1>
    </x:dataValidation>
  </x:dataValidations>
  <x:pageMargins left="0.7" right="0.7" top="0.75" bottom="0.75" header="0.3" footer="0.3"/>
</x:worksheet>
</file>